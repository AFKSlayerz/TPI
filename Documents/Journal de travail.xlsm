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filterPrivacy="1" codeName="ThisWorkbook" hidePivotFieldList="1"/>
  <xr:revisionPtr revIDLastSave="0" documentId="13_ncr:1_{C4E9F2BD-58FB-4994-ADB4-70B1BA9B3791}" xr6:coauthVersionLast="32" xr6:coauthVersionMax="32" xr10:uidLastSave="{00000000-0000-0000-0000-000000000000}"/>
  <bookViews>
    <workbookView xWindow="0" yWindow="0" windowWidth="28800" windowHeight="12225" xr2:uid="{00000000-000D-0000-FFFF-FFFF00000000}"/>
  </bookViews>
  <sheets>
    <sheet name="Journal" sheetId="1" r:id="rId1"/>
    <sheet name="Totaux" sheetId="4" r:id="rId2"/>
    <sheet name="Paramètres" sheetId="2" r:id="rId3"/>
  </sheets>
  <calcPr calcId="179017"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7" i="1"/>
  <c r="B8" i="1"/>
  <c r="B9" i="1"/>
  <c r="B10" i="1"/>
  <c r="B6" i="1"/>
  <c r="B15" i="1"/>
  <c r="B14" i="1"/>
  <c r="B13" i="1"/>
  <c r="B12" i="1"/>
  <c r="B11" i="1"/>
  <c r="B16" i="1"/>
  <c r="B17" i="1"/>
  <c r="B18" i="1"/>
  <c r="B19" i="1"/>
  <c r="B20" i="1"/>
  <c r="B21" i="1"/>
  <c r="B22" i="1"/>
  <c r="B23" i="1"/>
  <c r="B24" i="1"/>
  <c r="B25" i="1"/>
  <c r="B26" i="1"/>
  <c r="B27" i="1"/>
  <c r="B28" i="1"/>
  <c r="B30" i="1"/>
  <c r="B31" i="1"/>
  <c r="B32" i="1"/>
  <c r="B33" i="1"/>
  <c r="B34" i="1"/>
  <c r="B35" i="1"/>
  <c r="B36" i="1"/>
  <c r="B37" i="1"/>
  <c r="B38" i="1"/>
  <c r="B39" i="1"/>
  <c r="B40" i="1"/>
  <c r="B41" i="1"/>
  <c r="B42" i="1"/>
  <c r="B43" i="1"/>
  <c r="B44" i="1"/>
  <c r="B45" i="1"/>
  <c r="B46" i="1"/>
  <c r="B29" i="1"/>
  <c r="B47" i="1"/>
  <c r="B48" i="1"/>
  <c r="B49" i="1"/>
  <c r="B50" i="1"/>
  <c r="B51" i="1"/>
  <c r="B52" i="1"/>
  <c r="B53" i="1"/>
  <c r="B54" i="1"/>
  <c r="B55" i="1"/>
  <c r="B56" i="1"/>
</calcChain>
</file>

<file path=xl/sharedStrings.xml><?xml version="1.0" encoding="utf-8"?>
<sst xmlns="http://schemas.openxmlformats.org/spreadsheetml/2006/main" count="153" uniqueCount="80">
  <si>
    <t>Description</t>
  </si>
  <si>
    <t>Remarques/problèmes</t>
  </si>
  <si>
    <t>Jour</t>
  </si>
  <si>
    <t>Temps [h]</t>
  </si>
  <si>
    <t>Type</t>
  </si>
  <si>
    <t>Types de tâches</t>
  </si>
  <si>
    <t>Analyse</t>
  </si>
  <si>
    <t>Implémentation</t>
  </si>
  <si>
    <t>Tests</t>
  </si>
  <si>
    <t>Documentation</t>
  </si>
  <si>
    <t>Absence</t>
  </si>
  <si>
    <t>Total général</t>
  </si>
  <si>
    <t>Semaine</t>
  </si>
  <si>
    <t>Somme de Temps [h]</t>
  </si>
  <si>
    <t>Prise de connaissance du cahier des charges et discussion avec l'expert</t>
  </si>
  <si>
    <t>Création de la planification initial</t>
  </si>
  <si>
    <t>Discussion et clarification sur ce qui était attendu pour la réalisation du jeu avec le chef de projet</t>
  </si>
  <si>
    <t>Validation de la planification initial avec le chef de projet</t>
  </si>
  <si>
    <t>Création des maquettes</t>
  </si>
  <si>
    <t>Page de jeu</t>
  </si>
  <si>
    <t>Choix des use cases</t>
  </si>
  <si>
    <t>Maquettes du menu et finissions des maquettes pour le jeu en lui-même</t>
  </si>
  <si>
    <t>Analyse préliminaire</t>
  </si>
  <si>
    <t>Documentation : Introduction</t>
  </si>
  <si>
    <t>Préparation du Github et création du projet Xcode</t>
  </si>
  <si>
    <t>Scénario du use case "Lancement d'une partie"</t>
  </si>
  <si>
    <t xml:space="preserve">Recherche et création des sprites </t>
  </si>
  <si>
    <t>Devloppement du bouton "Retour" dans le menu d'avant-partie</t>
  </si>
  <si>
    <t>Devloppement du menu d'avant-partie ( maquettes menu 1,2,3,4)</t>
  </si>
  <si>
    <t>Devloppement de la naviguation dans le menu d'avant-partie</t>
  </si>
  <si>
    <t>Quelques problèmes au niveau de la naviguation (Devoir cliquer deux fois sur retour pour revenir une fois en arrière)</t>
  </si>
  <si>
    <t>Résolution des bugs du bouton "Retour"</t>
  </si>
  <si>
    <t xml:space="preserve">Création d'un système de flag qui s'incrémente et décremente </t>
  </si>
  <si>
    <t>Amélioration des détails sur les maquettes pour avoir une meilleur compréhension des scénarios</t>
  </si>
  <si>
    <t>Code des sprites pour les implémentées dans le jeu</t>
  </si>
  <si>
    <t>Journal de travail et mise en page de la documentation (use cases/scénarios et maquettes)</t>
  </si>
  <si>
    <t>Rendez-vous avec le chef de projet pour le Sprint 1</t>
  </si>
  <si>
    <t>Recherche et code du déplacement des élèves et du profs</t>
  </si>
  <si>
    <t>Recherche sur comment déplacer un sprite automatiquement sans qu'il s'arrête</t>
  </si>
  <si>
    <t>J'ai trouver une méthode permettant de le faire, quelques problèmes dû aux différents menus</t>
  </si>
  <si>
    <t>Sprint fini, il manque juste le MLD et le MCD</t>
  </si>
  <si>
    <t>Recherche et code de l'affichage des langues et du vocabulaires de manières a que ce soient plus faciles pour l'implémentation du WebService</t>
  </si>
  <si>
    <t>J'ai trouver la méthode permettant de créer des objet indépendant les uns des autres dans une boucle</t>
  </si>
  <si>
    <t>N'arrive pas à trouver la methode permettant de créer des objets indépendant dans boucle</t>
  </si>
  <si>
    <t>Recherche de différent termes concernant les parents et les enfants dans le languages Swift</t>
  </si>
  <si>
    <t>Commentaire du code</t>
  </si>
  <si>
    <t>Mise en ordre des différents supports et fichiers de documentation (Trello, GitHub, Rapport)</t>
  </si>
  <si>
    <t>Code pour pouvoir cliquer sur les labels et qui soient reconnu indépendamment les uns des autres</t>
  </si>
  <si>
    <t>Recherche et code pour pouvoir cliquer sur les labels et qui soient reconnu indépendamment les uns des autres</t>
  </si>
  <si>
    <t>Suite a la demande d'une connaissance, je me suis interesser a la fonction NSDictionnary pour assigné directement un ID a mes langue dans le tableau</t>
  </si>
  <si>
    <t xml:space="preserve">Tentative de création de bouton qui ont un ID assigné directement, malheureusement il en est impossible lors de la création d'un jeu et ce sont des SpriteNodes qui sont utilisés pour simuler des boutons -&gt; même problèmes que pour les labels, ne marche pas </t>
  </si>
  <si>
    <t>Problème résolu, assignation d'un name a chaque créations de label,puis transformation et incrémentation de celui-ci à fin qu'il soit différent pour chaques labels</t>
  </si>
  <si>
    <t>Code de la mise en relations entre les langues choisies par l'élève et le prof avec les vocabulaires correspondant à afficher</t>
  </si>
  <si>
    <t>Aide d'un collègue sur comment faire pour afficher les bons vocabulaires correspondants</t>
  </si>
  <si>
    <t>Mise en application de ce que mon collègue m'a dit et création + affichage des bons vocs par rapport au langues choisies</t>
  </si>
  <si>
    <t>Création d'une variable que l'on incrémente à chaque fois que la boucle "for" fait un tour à fin de réutilisé cet variable comme ID pour le joindre au tableau des vocs disponible par langues -&gt; ne marche pas.</t>
  </si>
  <si>
    <t>Création d'une boucle "for", de deux variables qui stockerons l'id des langues selon le voc et d'un "if" qui test si les langues choisies correspondent a ces deux variable, puis affichage des bon vocs.</t>
  </si>
  <si>
    <t>Coder le déplacement des élèves et du prof</t>
  </si>
  <si>
    <t xml:space="preserve">Problèmes lorsque l'on clique à droite puis a gauche, le prof s'arrête.  </t>
  </si>
  <si>
    <t>Création des scénario sur le déplacement des élèves et du prof</t>
  </si>
  <si>
    <t>Coder l'affichage des bons mots qui correspondent au vocabulaires choisi dans le jeu .</t>
  </si>
  <si>
    <t>Code: Quand  le prof veut selectionner un mot il doit se trouver au dessus de la case qui contient le mot pour pouvoir le selectionner</t>
  </si>
  <si>
    <t>Recherche d'une manière pour faire cela</t>
  </si>
  <si>
    <t>Stratégie de test, planification,dossier de conception, particularité 1, dossier de réalisation</t>
  </si>
  <si>
    <t>Coder le déplacement du prof</t>
  </si>
  <si>
    <t>Tentative de résolution, en créant une variable qui reprendre la position en temps réel du prof pour ainsi la mettre en condition de la boucle "while" ( tant que le prof n'est pas au bord de l'écran, le déplace du côté ou on a cliqué) La variable reprend bien la position en temps réel mais lorsqu'elle est mise dans la condition "while"</t>
  </si>
  <si>
    <t>Tentative de résolution, en créant une variable qui s'incrémente à (chaque tour de la boucle while) lorsque l'on clique a droite de l'écran et qui se décrémente lorque l'on clique a gauche de l'écran. Le problèeme est qu'après avoir cliqué a droite puis ensuite a gauche (ou l'inverse) le personne reste statique un moment car il décrémente et incrémente en même temps.</t>
  </si>
  <si>
    <t>Quand on clique a droite ou gauche puis ensuite de l'autre coté (sans que le prof n'ait atteint le bord de l'écran) il sort de l'écran.</t>
  </si>
  <si>
    <t>Préparation de la documentation a rendre pour la fin de la semaine et mise à jour du repo GitHub</t>
  </si>
  <si>
    <t>Deuxième visite de l'expert</t>
  </si>
  <si>
    <t>Visite chef de projet pour le Sprint 2</t>
  </si>
  <si>
    <t>Discussion sur la suite pour le Sprint 3, choix de refactorisé le code à  fin de faciliter la suite du projet.</t>
  </si>
  <si>
    <t>Code lancement de l'avion</t>
  </si>
  <si>
    <t xml:space="preserve">Amélioration du déplacement du prof </t>
  </si>
  <si>
    <t>Vue d'ensemble + MLD + MCD</t>
  </si>
  <si>
    <t>Refactorisation du code</t>
  </si>
  <si>
    <t>Déplacement du prof et de l'avion en papier</t>
  </si>
  <si>
    <t>Déplacement de l'élève</t>
  </si>
  <si>
    <t>Création de plusieurs élèves grâce a une classe séparée</t>
  </si>
  <si>
    <t>Amélioration des déplacement du prof et des élèves ainsi que de l'avion en papier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</si>
</sst>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1" xfId="0" applyBorder="1" applyProtection="1">
      <protection locked="0"/>
    </xf>
    <xf numFmtId="0" fontId="0" fillId="0" borderId="1" xfId="0" applyBorder="1" applyAlignment="1" applyProtection="1">
      <alignment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245.607591087966" createdVersion="4" refreshedVersion="6" minRefreshableVersion="3" recordCount="45" xr:uid="{00000000-000A-0000-FFFF-FFFF10000000}">
  <cacheSource type="worksheet">
    <worksheetSource ref="A1:D56" sheet="Journal"/>
  </cacheSource>
  <cacheFields count="4">
    <cacheField name="Jour" numFmtId="16">
      <sharedItems containsSemiMixedTypes="0" containsNonDate="0" containsDate="1" containsString="0" minDate="2018-01-01T00:00:00" maxDate="2018-05-26T00:00:00" count="11">
        <d v="2018-05-25T00:00:00"/>
        <d v="2018-05-24T00:00:00"/>
        <d v="2018-05-23T00:00:00"/>
        <d v="2018-05-22T00:00:00"/>
        <d v="2018-05-18T00:00:00"/>
        <d v="2018-05-17T00:00:00"/>
        <d v="2018-05-16T00:00:00"/>
        <d v="2018-05-15T00:00:00"/>
        <d v="2018-05-09T00:00:00"/>
        <d v="2018-05-08T00:00:00"/>
        <d v="2018-01-01T00:00:00" u="1"/>
      </sharedItems>
    </cacheField>
    <cacheField name="Semaine" numFmtId="1">
      <sharedItems containsSemiMixedTypes="0" containsString="0" containsNumber="1" containsInteger="1" minValue="19" maxValue="21"/>
    </cacheField>
    <cacheField name="Temps [h]" numFmtId="2">
      <sharedItems containsSemiMixedTypes="0" containsString="0" containsNumber="1" minValue="0.5" maxValue="1.75"/>
    </cacheField>
    <cacheField name="Type" numFmtId="0">
      <sharedItems count="4">
        <s v="Implémentation"/>
        <s v="Documentation"/>
        <s v="Analyse"/>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n v="21"/>
    <n v="0.5"/>
    <x v="0"/>
  </r>
  <r>
    <x v="0"/>
    <n v="21"/>
    <n v="1"/>
    <x v="0"/>
  </r>
  <r>
    <x v="0"/>
    <n v="21"/>
    <n v="1.25"/>
    <x v="0"/>
  </r>
  <r>
    <x v="0"/>
    <n v="21"/>
    <n v="1"/>
    <x v="0"/>
  </r>
  <r>
    <x v="0"/>
    <n v="21"/>
    <n v="1.5"/>
    <x v="1"/>
  </r>
  <r>
    <x v="1"/>
    <n v="21"/>
    <n v="1.25"/>
    <x v="1"/>
  </r>
  <r>
    <x v="1"/>
    <n v="21"/>
    <n v="1"/>
    <x v="1"/>
  </r>
  <r>
    <x v="1"/>
    <n v="21"/>
    <n v="1.5"/>
    <x v="0"/>
  </r>
  <r>
    <x v="1"/>
    <n v="21"/>
    <n v="1.5"/>
    <x v="0"/>
  </r>
  <r>
    <x v="1"/>
    <n v="21"/>
    <n v="1.5"/>
    <x v="0"/>
  </r>
  <r>
    <x v="2"/>
    <n v="21"/>
    <n v="1"/>
    <x v="0"/>
  </r>
  <r>
    <x v="2"/>
    <n v="21"/>
    <n v="0.5"/>
    <x v="0"/>
  </r>
  <r>
    <x v="2"/>
    <n v="21"/>
    <n v="1.5"/>
    <x v="0"/>
  </r>
  <r>
    <x v="2"/>
    <n v="21"/>
    <n v="1.5"/>
    <x v="0"/>
  </r>
  <r>
    <x v="3"/>
    <n v="21"/>
    <n v="1.5"/>
    <x v="0"/>
  </r>
  <r>
    <x v="3"/>
    <n v="21"/>
    <n v="1.5"/>
    <x v="0"/>
  </r>
  <r>
    <x v="3"/>
    <n v="21"/>
    <n v="1.5"/>
    <x v="0"/>
  </r>
  <r>
    <x v="3"/>
    <n v="21"/>
    <n v="1.5"/>
    <x v="0"/>
  </r>
  <r>
    <x v="4"/>
    <n v="20"/>
    <n v="1.5"/>
    <x v="1"/>
  </r>
  <r>
    <x v="4"/>
    <n v="20"/>
    <n v="1.25"/>
    <x v="0"/>
  </r>
  <r>
    <x v="4"/>
    <n v="20"/>
    <n v="1.5"/>
    <x v="0"/>
  </r>
  <r>
    <x v="4"/>
    <n v="20"/>
    <n v="1"/>
    <x v="2"/>
  </r>
  <r>
    <x v="5"/>
    <n v="20"/>
    <n v="1.5"/>
    <x v="0"/>
  </r>
  <r>
    <x v="5"/>
    <n v="20"/>
    <n v="1.5"/>
    <x v="0"/>
  </r>
  <r>
    <x v="5"/>
    <n v="20"/>
    <n v="0.75"/>
    <x v="3"/>
  </r>
  <r>
    <x v="5"/>
    <n v="20"/>
    <n v="1.5"/>
    <x v="0"/>
  </r>
  <r>
    <x v="5"/>
    <n v="20"/>
    <n v="1.5"/>
    <x v="0"/>
  </r>
  <r>
    <x v="6"/>
    <n v="20"/>
    <n v="0.5"/>
    <x v="1"/>
  </r>
  <r>
    <x v="6"/>
    <n v="20"/>
    <n v="1.5"/>
    <x v="0"/>
  </r>
  <r>
    <x v="6"/>
    <n v="20"/>
    <n v="1"/>
    <x v="1"/>
  </r>
  <r>
    <x v="6"/>
    <n v="20"/>
    <n v="1.5"/>
    <x v="0"/>
  </r>
  <r>
    <x v="7"/>
    <n v="20"/>
    <n v="1"/>
    <x v="0"/>
  </r>
  <r>
    <x v="7"/>
    <n v="20"/>
    <n v="1.5"/>
    <x v="0"/>
  </r>
  <r>
    <x v="7"/>
    <n v="20"/>
    <n v="1.5"/>
    <x v="0"/>
  </r>
  <r>
    <x v="7"/>
    <n v="20"/>
    <n v="0.5"/>
    <x v="1"/>
  </r>
  <r>
    <x v="7"/>
    <n v="20"/>
    <n v="1.5"/>
    <x v="1"/>
  </r>
  <r>
    <x v="8"/>
    <n v="19"/>
    <n v="0.75"/>
    <x v="1"/>
  </r>
  <r>
    <x v="8"/>
    <n v="19"/>
    <n v="1"/>
    <x v="1"/>
  </r>
  <r>
    <x v="8"/>
    <n v="19"/>
    <n v="1.5"/>
    <x v="1"/>
  </r>
  <r>
    <x v="8"/>
    <n v="19"/>
    <n v="1.25"/>
    <x v="1"/>
  </r>
  <r>
    <x v="9"/>
    <n v="19"/>
    <n v="1.75"/>
    <x v="1"/>
  </r>
  <r>
    <x v="9"/>
    <n v="19"/>
    <n v="0.75"/>
    <x v="2"/>
  </r>
  <r>
    <x v="9"/>
    <n v="19"/>
    <n v="0.75"/>
    <x v="2"/>
  </r>
  <r>
    <x v="9"/>
    <n v="19"/>
    <n v="1.75"/>
    <x v="2"/>
  </r>
  <r>
    <x v="9"/>
    <n v="19"/>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5" firstHeaderRow="1" firstDataRow="2" firstDataCol="1"/>
  <pivotFields count="4">
    <pivotField axis="axisRow" numFmtId="16" showAll="0">
      <items count="12">
        <item m="1" x="10"/>
        <item x="0"/>
        <item x="1"/>
        <item x="2"/>
        <item x="3"/>
        <item x="4"/>
        <item x="5"/>
        <item x="6"/>
        <item x="7"/>
        <item x="8"/>
        <item x="9"/>
        <item t="default"/>
      </items>
    </pivotField>
    <pivotField showAll="0"/>
    <pivotField dataField="1" showAll="0"/>
    <pivotField axis="axisCol" showAll="0">
      <items count="5">
        <item x="1"/>
        <item x="0"/>
        <item x="2"/>
        <item x="3"/>
        <item t="default"/>
      </items>
    </pivotField>
  </pivotFields>
  <rowFields count="1">
    <field x="0"/>
  </rowFields>
  <rowItems count="11">
    <i>
      <x v="1"/>
    </i>
    <i>
      <x v="2"/>
    </i>
    <i>
      <x v="3"/>
    </i>
    <i>
      <x v="4"/>
    </i>
    <i>
      <x v="5"/>
    </i>
    <i>
      <x v="6"/>
    </i>
    <i>
      <x v="7"/>
    </i>
    <i>
      <x v="8"/>
    </i>
    <i>
      <x v="9"/>
    </i>
    <i>
      <x v="10"/>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57"/>
  <sheetViews>
    <sheetView tabSelected="1" workbookViewId="0">
      <selection activeCell="A2" sqref="A2"/>
    </sheetView>
  </sheetViews>
  <sheetFormatPr baseColWidth="10" defaultColWidth="9.140625" defaultRowHeight="15" x14ac:dyDescent="0.25"/>
  <cols>
    <col min="1" max="1" width="6.85546875" style="8" bestFit="1" customWidth="1"/>
    <col min="2" max="2" width="8.7109375" style="20" customWidth="1"/>
    <col min="3" max="3" width="10.5703125" style="16" bestFit="1" customWidth="1"/>
    <col min="4" max="4" width="14.7109375" style="8" customWidth="1"/>
    <col min="5" max="5" width="45.5703125" style="17" customWidth="1"/>
    <col min="6" max="6" width="33.28515625" style="17" customWidth="1"/>
    <col min="7" max="16384" width="9.140625" style="11"/>
  </cols>
  <sheetData>
    <row r="1" spans="1:9" ht="24" customHeight="1" x14ac:dyDescent="0.25">
      <c r="A1" s="6" t="s">
        <v>2</v>
      </c>
      <c r="B1" s="18" t="s">
        <v>12</v>
      </c>
      <c r="C1" s="9" t="s">
        <v>3</v>
      </c>
      <c r="D1" s="6" t="s">
        <v>4</v>
      </c>
      <c r="E1" s="10" t="s">
        <v>0</v>
      </c>
      <c r="F1" s="10" t="s">
        <v>1</v>
      </c>
    </row>
    <row r="2" spans="1:9" ht="32.25" customHeight="1" x14ac:dyDescent="0.25">
      <c r="A2" s="7">
        <v>43250</v>
      </c>
      <c r="B2" s="19">
        <f t="shared" ref="B2" si="0">WEEKNUM(A2)</f>
        <v>22</v>
      </c>
      <c r="C2" s="12">
        <v>0.5</v>
      </c>
      <c r="D2" s="13" t="s">
        <v>9</v>
      </c>
      <c r="E2" s="14" t="s">
        <v>74</v>
      </c>
      <c r="F2" s="23"/>
      <c r="I2" s="15"/>
    </row>
    <row r="3" spans="1:9" ht="32.25" customHeight="1" x14ac:dyDescent="0.25">
      <c r="A3" s="7">
        <v>43250</v>
      </c>
      <c r="B3" s="19">
        <f t="shared" ref="B3" si="1">WEEKNUM(A3)</f>
        <v>22</v>
      </c>
      <c r="C3" s="12">
        <v>1.5</v>
      </c>
      <c r="D3" s="13" t="s">
        <v>7</v>
      </c>
      <c r="E3" s="14" t="s">
        <v>79</v>
      </c>
      <c r="F3" s="23"/>
      <c r="I3" s="15"/>
    </row>
    <row r="4" spans="1:9" ht="32.25" customHeight="1" x14ac:dyDescent="0.25">
      <c r="A4" s="7">
        <v>43250</v>
      </c>
      <c r="B4" s="19">
        <f t="shared" ref="B4" si="2">WEEKNUM(A4)</f>
        <v>22</v>
      </c>
      <c r="C4" s="12">
        <v>1</v>
      </c>
      <c r="D4" s="13" t="s">
        <v>7</v>
      </c>
      <c r="E4" s="14" t="s">
        <v>78</v>
      </c>
      <c r="F4" s="23"/>
      <c r="I4" s="15"/>
    </row>
    <row r="5" spans="1:9" ht="15.75" customHeight="1" x14ac:dyDescent="0.25">
      <c r="A5" s="7">
        <v>43250</v>
      </c>
      <c r="B5" s="19">
        <f t="shared" ref="B5" si="3">WEEKNUM(A5)</f>
        <v>22</v>
      </c>
      <c r="C5" s="12">
        <v>1</v>
      </c>
      <c r="D5" s="13" t="s">
        <v>7</v>
      </c>
      <c r="E5" s="14" t="s">
        <v>75</v>
      </c>
      <c r="F5" s="23" t="s">
        <v>77</v>
      </c>
      <c r="I5" s="15"/>
    </row>
    <row r="6" spans="1:9" ht="31.5" customHeight="1" x14ac:dyDescent="0.25">
      <c r="A6" s="7">
        <v>43249</v>
      </c>
      <c r="B6" s="19">
        <f t="shared" ref="B6" si="4">WEEKNUM(A6)</f>
        <v>22</v>
      </c>
      <c r="C6" s="12">
        <v>1</v>
      </c>
      <c r="D6" s="13" t="s">
        <v>7</v>
      </c>
      <c r="E6" s="14" t="s">
        <v>75</v>
      </c>
      <c r="F6" s="23" t="s">
        <v>76</v>
      </c>
      <c r="I6" s="15"/>
    </row>
    <row r="7" spans="1:9" ht="16.5" customHeight="1" x14ac:dyDescent="0.25">
      <c r="A7" s="7">
        <v>43249</v>
      </c>
      <c r="B7" s="19">
        <f t="shared" ref="B7:B15" si="5">WEEKNUM(A7)</f>
        <v>22</v>
      </c>
      <c r="C7" s="12">
        <v>0.5</v>
      </c>
      <c r="D7" s="13" t="s">
        <v>6</v>
      </c>
      <c r="E7" s="14" t="s">
        <v>70</v>
      </c>
      <c r="F7" s="23" t="s">
        <v>71</v>
      </c>
      <c r="I7" s="15"/>
    </row>
    <row r="8" spans="1:9" ht="16.5" customHeight="1" x14ac:dyDescent="0.25">
      <c r="A8" s="7">
        <v>43249</v>
      </c>
      <c r="B8" s="19">
        <f t="shared" si="5"/>
        <v>22</v>
      </c>
      <c r="C8" s="12">
        <v>1.5</v>
      </c>
      <c r="D8" s="13" t="s">
        <v>9</v>
      </c>
      <c r="E8" s="14" t="s">
        <v>74</v>
      </c>
      <c r="F8" s="23"/>
      <c r="I8" s="15"/>
    </row>
    <row r="9" spans="1:9" ht="16.5" customHeight="1" x14ac:dyDescent="0.25">
      <c r="A9" s="7">
        <v>43249</v>
      </c>
      <c r="B9" s="19">
        <f t="shared" si="5"/>
        <v>22</v>
      </c>
      <c r="C9" s="12">
        <v>1.5</v>
      </c>
      <c r="D9" s="13" t="s">
        <v>7</v>
      </c>
      <c r="E9" s="14" t="s">
        <v>73</v>
      </c>
      <c r="F9" s="23"/>
      <c r="I9" s="15"/>
    </row>
    <row r="10" spans="1:9" ht="16.5" customHeight="1" x14ac:dyDescent="0.25">
      <c r="A10" s="7">
        <v>43249</v>
      </c>
      <c r="B10" s="19">
        <f t="shared" si="5"/>
        <v>22</v>
      </c>
      <c r="C10" s="12">
        <v>1.5</v>
      </c>
      <c r="D10" s="13" t="s">
        <v>7</v>
      </c>
      <c r="E10" s="14" t="s">
        <v>72</v>
      </c>
      <c r="F10" s="23"/>
      <c r="I10" s="15"/>
    </row>
    <row r="11" spans="1:9" ht="32.25" customHeight="1" x14ac:dyDescent="0.25">
      <c r="A11" s="7">
        <v>43245</v>
      </c>
      <c r="B11" s="19">
        <f t="shared" si="5"/>
        <v>21</v>
      </c>
      <c r="C11" s="12">
        <v>0.5</v>
      </c>
      <c r="D11" s="13" t="s">
        <v>9</v>
      </c>
      <c r="E11" s="14" t="s">
        <v>68</v>
      </c>
      <c r="F11" s="23"/>
      <c r="I11" s="15"/>
    </row>
    <row r="12" spans="1:9" ht="32.25" customHeight="1" x14ac:dyDescent="0.25">
      <c r="A12" s="7">
        <v>43245</v>
      </c>
      <c r="B12" s="19">
        <f t="shared" si="5"/>
        <v>21</v>
      </c>
      <c r="C12" s="12">
        <v>1</v>
      </c>
      <c r="D12" s="13" t="s">
        <v>7</v>
      </c>
      <c r="E12" s="14" t="s">
        <v>64</v>
      </c>
      <c r="F12" s="23" t="s">
        <v>66</v>
      </c>
      <c r="I12" s="15"/>
    </row>
    <row r="13" spans="1:9" ht="149.25" customHeight="1" x14ac:dyDescent="0.25">
      <c r="A13" s="7">
        <v>43245</v>
      </c>
      <c r="B13" s="19">
        <f t="shared" si="5"/>
        <v>21</v>
      </c>
      <c r="C13" s="12">
        <v>1.25</v>
      </c>
      <c r="D13" s="13" t="s">
        <v>7</v>
      </c>
      <c r="E13" s="14" t="s">
        <v>64</v>
      </c>
      <c r="F13" s="23" t="s">
        <v>65</v>
      </c>
      <c r="I13" s="15"/>
    </row>
    <row r="14" spans="1:9" ht="59.25" customHeight="1" x14ac:dyDescent="0.25">
      <c r="A14" s="7">
        <v>43245</v>
      </c>
      <c r="B14" s="19">
        <f t="shared" si="5"/>
        <v>21</v>
      </c>
      <c r="C14" s="12">
        <v>1</v>
      </c>
      <c r="D14" s="13" t="s">
        <v>7</v>
      </c>
      <c r="E14" s="14" t="s">
        <v>64</v>
      </c>
      <c r="F14" s="23" t="s">
        <v>67</v>
      </c>
      <c r="I14" s="15"/>
    </row>
    <row r="15" spans="1:9" ht="60" customHeight="1" x14ac:dyDescent="0.25">
      <c r="A15" s="7">
        <v>43245</v>
      </c>
      <c r="B15" s="19">
        <f t="shared" si="5"/>
        <v>21</v>
      </c>
      <c r="C15" s="12">
        <v>1.5</v>
      </c>
      <c r="D15" s="13" t="s">
        <v>9</v>
      </c>
      <c r="E15" s="14" t="s">
        <v>63</v>
      </c>
      <c r="F15" s="23"/>
      <c r="I15" s="15"/>
    </row>
    <row r="16" spans="1:9" ht="19.5" customHeight="1" x14ac:dyDescent="0.25">
      <c r="A16" s="7">
        <v>43244</v>
      </c>
      <c r="B16" s="19">
        <f t="shared" ref="B16" si="6">WEEKNUM(A16)</f>
        <v>21</v>
      </c>
      <c r="C16" s="12">
        <v>0.5</v>
      </c>
      <c r="D16" s="13" t="s">
        <v>6</v>
      </c>
      <c r="E16" s="14" t="s">
        <v>69</v>
      </c>
      <c r="F16" s="23"/>
      <c r="I16" s="15"/>
    </row>
    <row r="17" spans="1:9" ht="45.75" customHeight="1" x14ac:dyDescent="0.25">
      <c r="A17" s="7">
        <v>43244</v>
      </c>
      <c r="B17" s="19">
        <f t="shared" ref="B17" si="7">WEEKNUM(A17)</f>
        <v>21</v>
      </c>
      <c r="C17" s="12">
        <v>1.25</v>
      </c>
      <c r="D17" s="13" t="s">
        <v>9</v>
      </c>
      <c r="E17" s="14" t="s">
        <v>61</v>
      </c>
      <c r="F17" s="23" t="s">
        <v>62</v>
      </c>
      <c r="I17" s="15"/>
    </row>
    <row r="18" spans="1:9" ht="14.25" customHeight="1" x14ac:dyDescent="0.25">
      <c r="A18" s="7">
        <v>43244</v>
      </c>
      <c r="B18" s="19">
        <f t="shared" ref="B18" si="8">WEEKNUM(A18)</f>
        <v>21</v>
      </c>
      <c r="C18" s="12">
        <v>1</v>
      </c>
      <c r="D18" s="13" t="s">
        <v>9</v>
      </c>
      <c r="E18" s="14" t="s">
        <v>59</v>
      </c>
      <c r="F18" s="23"/>
      <c r="I18" s="15"/>
    </row>
    <row r="19" spans="1:9" ht="27.75" customHeight="1" x14ac:dyDescent="0.25">
      <c r="A19" s="7">
        <v>43244</v>
      </c>
      <c r="B19" s="19">
        <f t="shared" ref="B19" si="9">WEEKNUM(A19)</f>
        <v>21</v>
      </c>
      <c r="C19" s="12">
        <v>1</v>
      </c>
      <c r="D19" s="13" t="s">
        <v>7</v>
      </c>
      <c r="E19" s="14" t="s">
        <v>60</v>
      </c>
      <c r="F19" s="23"/>
      <c r="I19" s="15"/>
    </row>
    <row r="20" spans="1:9" ht="28.5" customHeight="1" x14ac:dyDescent="0.25">
      <c r="A20" s="7">
        <v>43244</v>
      </c>
      <c r="B20" s="19">
        <f t="shared" ref="B20" si="10">WEEKNUM(A20)</f>
        <v>21</v>
      </c>
      <c r="C20" s="12">
        <v>1.5</v>
      </c>
      <c r="D20" s="13" t="s">
        <v>7</v>
      </c>
      <c r="E20" s="14" t="s">
        <v>57</v>
      </c>
      <c r="F20" s="23" t="s">
        <v>58</v>
      </c>
      <c r="I20" s="15"/>
    </row>
    <row r="21" spans="1:9" ht="14.25" customHeight="1" x14ac:dyDescent="0.25">
      <c r="A21" s="7">
        <v>43244</v>
      </c>
      <c r="B21" s="19">
        <f t="shared" ref="B21" si="11">WEEKNUM(A21)</f>
        <v>21</v>
      </c>
      <c r="C21" s="12">
        <v>1.5</v>
      </c>
      <c r="D21" s="13" t="s">
        <v>7</v>
      </c>
      <c r="E21" s="14" t="s">
        <v>57</v>
      </c>
      <c r="F21" s="23"/>
      <c r="I21" s="15"/>
    </row>
    <row r="22" spans="1:9" ht="87.75" customHeight="1" x14ac:dyDescent="0.25">
      <c r="A22" s="7">
        <v>43243</v>
      </c>
      <c r="B22" s="19">
        <f t="shared" ref="B22" si="12">WEEKNUM(A22)</f>
        <v>21</v>
      </c>
      <c r="C22" s="12">
        <v>1</v>
      </c>
      <c r="D22" s="13" t="s">
        <v>7</v>
      </c>
      <c r="E22" s="14" t="s">
        <v>54</v>
      </c>
      <c r="F22" s="23" t="s">
        <v>56</v>
      </c>
      <c r="I22" s="15"/>
    </row>
    <row r="23" spans="1:9" ht="29.25" customHeight="1" x14ac:dyDescent="0.25">
      <c r="A23" s="7">
        <v>43243</v>
      </c>
      <c r="B23" s="19">
        <f t="shared" ref="B23" si="13">WEEKNUM(A23)</f>
        <v>21</v>
      </c>
      <c r="C23" s="12">
        <v>0.5</v>
      </c>
      <c r="D23" s="13" t="s">
        <v>7</v>
      </c>
      <c r="E23" s="14" t="s">
        <v>53</v>
      </c>
      <c r="F23" s="23"/>
      <c r="I23" s="15"/>
    </row>
    <row r="24" spans="1:9" ht="45" customHeight="1" x14ac:dyDescent="0.25">
      <c r="A24" s="7">
        <v>43243</v>
      </c>
      <c r="B24" s="19">
        <f t="shared" ref="B24" si="14">WEEKNUM(A24)</f>
        <v>21</v>
      </c>
      <c r="C24" s="12">
        <v>1.5</v>
      </c>
      <c r="D24" s="13" t="s">
        <v>7</v>
      </c>
      <c r="E24" s="14" t="s">
        <v>52</v>
      </c>
      <c r="F24" s="23"/>
      <c r="I24" s="15"/>
    </row>
    <row r="25" spans="1:9" ht="73.5" customHeight="1" x14ac:dyDescent="0.25">
      <c r="A25" s="7">
        <v>43243</v>
      </c>
      <c r="B25" s="19">
        <f t="shared" ref="B25" si="15">WEEKNUM(A25)</f>
        <v>21</v>
      </c>
      <c r="C25" s="12">
        <v>1.5</v>
      </c>
      <c r="D25" s="13" t="s">
        <v>7</v>
      </c>
      <c r="E25" s="14" t="s">
        <v>48</v>
      </c>
      <c r="F25" s="23" t="s">
        <v>51</v>
      </c>
      <c r="I25" s="15"/>
    </row>
    <row r="26" spans="1:9" ht="118.5" customHeight="1" x14ac:dyDescent="0.25">
      <c r="A26" s="7">
        <v>43242</v>
      </c>
      <c r="B26" s="19">
        <f t="shared" ref="B26" si="16">WEEKNUM(A26)</f>
        <v>21</v>
      </c>
      <c r="C26" s="12">
        <v>1.5</v>
      </c>
      <c r="D26" s="13" t="s">
        <v>7</v>
      </c>
      <c r="E26" s="14" t="s">
        <v>48</v>
      </c>
      <c r="F26" s="23" t="s">
        <v>50</v>
      </c>
      <c r="I26" s="15"/>
    </row>
    <row r="27" spans="1:9" ht="120" customHeight="1" x14ac:dyDescent="0.25">
      <c r="A27" s="7">
        <v>43242</v>
      </c>
      <c r="B27" s="19">
        <f t="shared" ref="B27" si="17">WEEKNUM(A27)</f>
        <v>21</v>
      </c>
      <c r="C27" s="12">
        <v>1.5</v>
      </c>
      <c r="D27" s="13" t="s">
        <v>7</v>
      </c>
      <c r="E27" s="14" t="s">
        <v>48</v>
      </c>
      <c r="F27" s="23" t="s">
        <v>50</v>
      </c>
      <c r="I27" s="15"/>
    </row>
    <row r="28" spans="1:9" ht="75.75" customHeight="1" x14ac:dyDescent="0.25">
      <c r="A28" s="7">
        <v>43242</v>
      </c>
      <c r="B28" s="19">
        <f t="shared" ref="B28" si="18">WEEKNUM(A28)</f>
        <v>21</v>
      </c>
      <c r="C28" s="12">
        <v>1.5</v>
      </c>
      <c r="D28" s="13" t="s">
        <v>7</v>
      </c>
      <c r="E28" s="14" t="s">
        <v>48</v>
      </c>
      <c r="F28" s="23" t="s">
        <v>49</v>
      </c>
      <c r="I28" s="15"/>
    </row>
    <row r="29" spans="1:9" ht="103.5" customHeight="1" x14ac:dyDescent="0.25">
      <c r="A29" s="7">
        <v>43242</v>
      </c>
      <c r="B29" s="19">
        <f t="shared" ref="B29" si="19">WEEKNUM(A29)</f>
        <v>21</v>
      </c>
      <c r="C29" s="12">
        <v>1.5</v>
      </c>
      <c r="D29" s="13" t="s">
        <v>7</v>
      </c>
      <c r="E29" s="14" t="s">
        <v>47</v>
      </c>
      <c r="F29" s="23" t="s">
        <v>55</v>
      </c>
      <c r="I29" s="15"/>
    </row>
    <row r="30" spans="1:9" ht="30" x14ac:dyDescent="0.25">
      <c r="A30" s="7">
        <v>43238</v>
      </c>
      <c r="B30" s="19">
        <f t="shared" ref="B30:B39" si="20">WEEKNUM(A30)</f>
        <v>20</v>
      </c>
      <c r="C30" s="12">
        <v>1.5</v>
      </c>
      <c r="D30" s="13" t="s">
        <v>9</v>
      </c>
      <c r="E30" s="14" t="s">
        <v>46</v>
      </c>
      <c r="F30" s="23"/>
      <c r="I30" s="15"/>
    </row>
    <row r="31" spans="1:9" x14ac:dyDescent="0.25">
      <c r="A31" s="7">
        <v>43238</v>
      </c>
      <c r="B31" s="19">
        <f t="shared" si="20"/>
        <v>20</v>
      </c>
      <c r="C31" s="12">
        <v>1.25</v>
      </c>
      <c r="D31" s="13" t="s">
        <v>7</v>
      </c>
      <c r="E31" s="14" t="s">
        <v>45</v>
      </c>
      <c r="F31" s="23"/>
      <c r="I31" s="15"/>
    </row>
    <row r="32" spans="1:9" ht="44.25" customHeight="1" x14ac:dyDescent="0.25">
      <c r="A32" s="7">
        <v>43238</v>
      </c>
      <c r="B32" s="19">
        <f t="shared" si="20"/>
        <v>20</v>
      </c>
      <c r="C32" s="12">
        <v>1.5</v>
      </c>
      <c r="D32" s="13" t="s">
        <v>7</v>
      </c>
      <c r="E32" s="14" t="s">
        <v>41</v>
      </c>
      <c r="F32" s="23" t="s">
        <v>42</v>
      </c>
      <c r="I32" s="15"/>
    </row>
    <row r="33" spans="1:9" ht="30" x14ac:dyDescent="0.25">
      <c r="A33" s="7">
        <v>43238</v>
      </c>
      <c r="B33" s="19">
        <f t="shared" si="20"/>
        <v>20</v>
      </c>
      <c r="C33" s="12">
        <v>1</v>
      </c>
      <c r="D33" s="13" t="s">
        <v>6</v>
      </c>
      <c r="E33" s="14" t="s">
        <v>44</v>
      </c>
      <c r="F33" s="23"/>
      <c r="I33" s="15"/>
    </row>
    <row r="34" spans="1:9" ht="45" x14ac:dyDescent="0.25">
      <c r="A34" s="7">
        <v>43237</v>
      </c>
      <c r="B34" s="19">
        <f t="shared" si="20"/>
        <v>20</v>
      </c>
      <c r="C34" s="12">
        <v>1.5</v>
      </c>
      <c r="D34" s="13" t="s">
        <v>7</v>
      </c>
      <c r="E34" s="14" t="s">
        <v>41</v>
      </c>
      <c r="F34" s="23" t="s">
        <v>43</v>
      </c>
      <c r="I34" s="15"/>
    </row>
    <row r="35" spans="1:9" ht="45" x14ac:dyDescent="0.25">
      <c r="A35" s="7">
        <v>43237</v>
      </c>
      <c r="B35" s="19">
        <f t="shared" si="20"/>
        <v>20</v>
      </c>
      <c r="C35" s="12">
        <v>1.5</v>
      </c>
      <c r="D35" s="13" t="s">
        <v>7</v>
      </c>
      <c r="E35" s="14" t="s">
        <v>41</v>
      </c>
      <c r="F35" s="23"/>
      <c r="I35" s="15"/>
    </row>
    <row r="36" spans="1:9" ht="30" x14ac:dyDescent="0.25">
      <c r="A36" s="7">
        <v>43237</v>
      </c>
      <c r="B36" s="19">
        <f t="shared" si="20"/>
        <v>20</v>
      </c>
      <c r="C36" s="12">
        <v>0.75</v>
      </c>
      <c r="D36" s="13" t="s">
        <v>8</v>
      </c>
      <c r="E36" s="14" t="s">
        <v>36</v>
      </c>
      <c r="F36" s="23" t="s">
        <v>40</v>
      </c>
      <c r="I36" s="15"/>
    </row>
    <row r="37" spans="1:9" ht="45" x14ac:dyDescent="0.25">
      <c r="A37" s="7">
        <v>43237</v>
      </c>
      <c r="B37" s="19">
        <f t="shared" si="20"/>
        <v>20</v>
      </c>
      <c r="C37" s="12">
        <v>1.5</v>
      </c>
      <c r="D37" s="13" t="s">
        <v>7</v>
      </c>
      <c r="E37" s="14" t="s">
        <v>37</v>
      </c>
      <c r="F37" s="23" t="s">
        <v>39</v>
      </c>
      <c r="I37" s="15"/>
    </row>
    <row r="38" spans="1:9" ht="27" customHeight="1" x14ac:dyDescent="0.25">
      <c r="A38" s="7">
        <v>43237</v>
      </c>
      <c r="B38" s="19">
        <f t="shared" si="20"/>
        <v>20</v>
      </c>
      <c r="C38" s="12">
        <v>1.5</v>
      </c>
      <c r="D38" s="13" t="s">
        <v>7</v>
      </c>
      <c r="E38" s="14" t="s">
        <v>37</v>
      </c>
      <c r="F38" s="23" t="s">
        <v>38</v>
      </c>
      <c r="I38" s="15"/>
    </row>
    <row r="39" spans="1:9" ht="45" x14ac:dyDescent="0.25">
      <c r="A39" s="7">
        <v>43236</v>
      </c>
      <c r="B39" s="19">
        <f t="shared" si="20"/>
        <v>20</v>
      </c>
      <c r="C39" s="12">
        <v>0.5</v>
      </c>
      <c r="D39" s="13" t="s">
        <v>9</v>
      </c>
      <c r="E39" s="14" t="s">
        <v>35</v>
      </c>
      <c r="F39" s="23"/>
      <c r="I39" s="15"/>
    </row>
    <row r="40" spans="1:9" ht="30" x14ac:dyDescent="0.25">
      <c r="A40" s="7">
        <v>43236</v>
      </c>
      <c r="B40" s="19">
        <f t="shared" ref="B40" si="21">WEEKNUM(A40)</f>
        <v>20</v>
      </c>
      <c r="C40" s="12">
        <v>1.5</v>
      </c>
      <c r="D40" s="13" t="s">
        <v>7</v>
      </c>
      <c r="E40" s="14" t="s">
        <v>34</v>
      </c>
      <c r="F40" s="23"/>
      <c r="I40" s="15"/>
    </row>
    <row r="41" spans="1:9" ht="30" x14ac:dyDescent="0.25">
      <c r="A41" s="7">
        <v>43236</v>
      </c>
      <c r="B41" s="19">
        <f t="shared" ref="B41" si="22">WEEKNUM(A41)</f>
        <v>20</v>
      </c>
      <c r="C41" s="12">
        <v>1</v>
      </c>
      <c r="D41" s="13" t="s">
        <v>9</v>
      </c>
      <c r="E41" s="14" t="s">
        <v>33</v>
      </c>
      <c r="F41" s="23"/>
      <c r="I41" s="15"/>
    </row>
    <row r="42" spans="1:9" ht="30" x14ac:dyDescent="0.25">
      <c r="A42" s="7">
        <v>43236</v>
      </c>
      <c r="B42" s="19">
        <f t="shared" ref="B42" si="23">WEEKNUM(A42)</f>
        <v>20</v>
      </c>
      <c r="C42" s="12">
        <v>1.5</v>
      </c>
      <c r="D42" s="13" t="s">
        <v>7</v>
      </c>
      <c r="E42" s="14" t="s">
        <v>31</v>
      </c>
      <c r="F42" s="23" t="s">
        <v>32</v>
      </c>
      <c r="I42" s="15"/>
    </row>
    <row r="43" spans="1:9" ht="60" x14ac:dyDescent="0.25">
      <c r="A43" s="7">
        <v>43235</v>
      </c>
      <c r="B43" s="19">
        <f t="shared" ref="B43" si="24">WEEKNUM(A43)</f>
        <v>20</v>
      </c>
      <c r="C43" s="12">
        <v>1</v>
      </c>
      <c r="D43" s="13" t="s">
        <v>7</v>
      </c>
      <c r="E43" s="14" t="s">
        <v>27</v>
      </c>
      <c r="F43" s="23" t="s">
        <v>30</v>
      </c>
      <c r="I43" s="15"/>
    </row>
    <row r="44" spans="1:9" ht="30" x14ac:dyDescent="0.25">
      <c r="A44" s="7">
        <v>43235</v>
      </c>
      <c r="B44" s="19">
        <f t="shared" ref="B44" si="25">WEEKNUM(A44)</f>
        <v>20</v>
      </c>
      <c r="C44" s="12">
        <v>1.5</v>
      </c>
      <c r="D44" s="13" t="s">
        <v>7</v>
      </c>
      <c r="E44" s="14" t="s">
        <v>29</v>
      </c>
      <c r="F44" s="22"/>
      <c r="I44" s="15"/>
    </row>
    <row r="45" spans="1:9" ht="30" x14ac:dyDescent="0.25">
      <c r="A45" s="7">
        <v>43235</v>
      </c>
      <c r="B45" s="19">
        <f t="shared" ref="B45" si="26">WEEKNUM(A45)</f>
        <v>20</v>
      </c>
      <c r="C45" s="12">
        <v>1.5</v>
      </c>
      <c r="D45" s="13" t="s">
        <v>7</v>
      </c>
      <c r="E45" s="14" t="s">
        <v>28</v>
      </c>
      <c r="F45" s="22"/>
      <c r="I45" s="15"/>
    </row>
    <row r="46" spans="1:9" x14ac:dyDescent="0.25">
      <c r="A46" s="7">
        <v>43235</v>
      </c>
      <c r="B46" s="19">
        <f t="shared" ref="B46" si="27">WEEKNUM(A46)</f>
        <v>20</v>
      </c>
      <c r="C46" s="12">
        <v>0.5</v>
      </c>
      <c r="D46" s="13" t="s">
        <v>9</v>
      </c>
      <c r="E46" s="14" t="s">
        <v>26</v>
      </c>
      <c r="F46" s="22"/>
      <c r="I46" s="15"/>
    </row>
    <row r="47" spans="1:9" x14ac:dyDescent="0.25">
      <c r="A47" s="7">
        <v>43235</v>
      </c>
      <c r="B47" s="19">
        <f t="shared" ref="B47" si="28">WEEKNUM(A47)</f>
        <v>20</v>
      </c>
      <c r="C47" s="12">
        <v>1.5</v>
      </c>
      <c r="D47" s="13" t="s">
        <v>9</v>
      </c>
      <c r="E47" s="14" t="s">
        <v>25</v>
      </c>
      <c r="F47" s="22"/>
      <c r="I47" s="15"/>
    </row>
    <row r="48" spans="1:9" ht="30" x14ac:dyDescent="0.25">
      <c r="A48" s="7">
        <v>43229</v>
      </c>
      <c r="B48" s="19">
        <f t="shared" ref="B48:B56" si="29">WEEKNUM(A48)</f>
        <v>19</v>
      </c>
      <c r="C48" s="12">
        <v>0.75</v>
      </c>
      <c r="D48" s="13" t="s">
        <v>9</v>
      </c>
      <c r="E48" s="14" t="s">
        <v>24</v>
      </c>
      <c r="F48" s="22"/>
      <c r="I48" s="15"/>
    </row>
    <row r="49" spans="1:9" x14ac:dyDescent="0.25">
      <c r="A49" s="7">
        <v>43229</v>
      </c>
      <c r="B49" s="19">
        <f t="shared" si="29"/>
        <v>19</v>
      </c>
      <c r="C49" s="12">
        <v>1</v>
      </c>
      <c r="D49" s="13" t="s">
        <v>9</v>
      </c>
      <c r="E49" s="14" t="s">
        <v>23</v>
      </c>
      <c r="F49" s="14" t="s">
        <v>22</v>
      </c>
      <c r="I49" s="15"/>
    </row>
    <row r="50" spans="1:9" ht="45" x14ac:dyDescent="0.25">
      <c r="A50" s="7">
        <v>43229</v>
      </c>
      <c r="B50" s="19">
        <f t="shared" si="29"/>
        <v>19</v>
      </c>
      <c r="C50" s="12">
        <v>1.5</v>
      </c>
      <c r="D50" s="13" t="s">
        <v>9</v>
      </c>
      <c r="E50" s="14" t="s">
        <v>18</v>
      </c>
      <c r="F50" s="14" t="s">
        <v>21</v>
      </c>
      <c r="I50" s="15"/>
    </row>
    <row r="51" spans="1:9" x14ac:dyDescent="0.25">
      <c r="A51" s="7">
        <v>43229</v>
      </c>
      <c r="B51" s="19">
        <f t="shared" si="29"/>
        <v>19</v>
      </c>
      <c r="C51" s="12">
        <v>1.25</v>
      </c>
      <c r="D51" s="13" t="s">
        <v>9</v>
      </c>
      <c r="E51" s="14" t="s">
        <v>20</v>
      </c>
      <c r="F51" s="14"/>
      <c r="I51" s="15"/>
    </row>
    <row r="52" spans="1:9" x14ac:dyDescent="0.25">
      <c r="A52" s="7">
        <v>43228</v>
      </c>
      <c r="B52" s="19">
        <f t="shared" si="29"/>
        <v>19</v>
      </c>
      <c r="C52" s="12">
        <v>1.75</v>
      </c>
      <c r="D52" s="13" t="s">
        <v>9</v>
      </c>
      <c r="E52" s="14" t="s">
        <v>18</v>
      </c>
      <c r="F52" s="14" t="s">
        <v>19</v>
      </c>
      <c r="I52" s="15"/>
    </row>
    <row r="53" spans="1:9" ht="30" x14ac:dyDescent="0.25">
      <c r="A53" s="7">
        <v>43228</v>
      </c>
      <c r="B53" s="19">
        <f t="shared" si="29"/>
        <v>19</v>
      </c>
      <c r="C53" s="12">
        <v>0.75</v>
      </c>
      <c r="D53" s="13" t="s">
        <v>6</v>
      </c>
      <c r="E53" s="14" t="s">
        <v>17</v>
      </c>
      <c r="F53" s="14"/>
      <c r="I53" s="15"/>
    </row>
    <row r="54" spans="1:9" ht="30" x14ac:dyDescent="0.25">
      <c r="A54" s="7">
        <v>43228</v>
      </c>
      <c r="B54" s="19">
        <f t="shared" si="29"/>
        <v>19</v>
      </c>
      <c r="C54" s="12">
        <v>0.75</v>
      </c>
      <c r="D54" s="13" t="s">
        <v>6</v>
      </c>
      <c r="E54" s="14" t="s">
        <v>16</v>
      </c>
      <c r="F54" s="14"/>
      <c r="I54" s="15"/>
    </row>
    <row r="55" spans="1:9" x14ac:dyDescent="0.25">
      <c r="A55" s="7">
        <v>43228</v>
      </c>
      <c r="B55" s="19">
        <f t="shared" si="29"/>
        <v>19</v>
      </c>
      <c r="C55" s="12">
        <v>1.75</v>
      </c>
      <c r="D55" s="13" t="s">
        <v>6</v>
      </c>
      <c r="E55" s="14" t="s">
        <v>15</v>
      </c>
      <c r="F55" s="14"/>
      <c r="I55" s="15"/>
    </row>
    <row r="56" spans="1:9" ht="30" x14ac:dyDescent="0.25">
      <c r="A56" s="7">
        <v>43228</v>
      </c>
      <c r="B56" s="19">
        <f t="shared" si="29"/>
        <v>19</v>
      </c>
      <c r="C56" s="12">
        <v>1</v>
      </c>
      <c r="D56" s="13" t="s">
        <v>6</v>
      </c>
      <c r="E56" s="14" t="s">
        <v>14</v>
      </c>
      <c r="F56" s="14"/>
      <c r="I56" s="15"/>
    </row>
    <row r="57" spans="1:9" x14ac:dyDescent="0.25">
      <c r="A57" s="21"/>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D2:D56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F15"/>
  <sheetViews>
    <sheetView workbookViewId="0">
      <selection activeCell="A3" sqref="A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43245</v>
      </c>
      <c r="B5" s="3">
        <v>1.5</v>
      </c>
      <c r="C5" s="3">
        <v>3.75</v>
      </c>
      <c r="D5" s="3"/>
      <c r="E5" s="3"/>
      <c r="F5" s="3">
        <v>5.25</v>
      </c>
    </row>
    <row r="6" spans="1:6" x14ac:dyDescent="0.25">
      <c r="A6" s="5">
        <v>43244</v>
      </c>
      <c r="B6" s="3">
        <v>2.25</v>
      </c>
      <c r="C6" s="3">
        <v>4.5</v>
      </c>
      <c r="D6" s="3"/>
      <c r="E6" s="3"/>
      <c r="F6" s="3">
        <v>6.75</v>
      </c>
    </row>
    <row r="7" spans="1:6" x14ac:dyDescent="0.25">
      <c r="A7" s="5">
        <v>43243</v>
      </c>
      <c r="B7" s="3"/>
      <c r="C7" s="3">
        <v>4.5</v>
      </c>
      <c r="D7" s="3"/>
      <c r="E7" s="3"/>
      <c r="F7" s="3">
        <v>4.5</v>
      </c>
    </row>
    <row r="8" spans="1:6" x14ac:dyDescent="0.25">
      <c r="A8" s="5">
        <v>43242</v>
      </c>
      <c r="B8" s="3"/>
      <c r="C8" s="3">
        <v>6</v>
      </c>
      <c r="D8" s="3"/>
      <c r="E8" s="3"/>
      <c r="F8" s="3">
        <v>6</v>
      </c>
    </row>
    <row r="9" spans="1:6" x14ac:dyDescent="0.25">
      <c r="A9" s="5">
        <v>43238</v>
      </c>
      <c r="B9" s="3">
        <v>1.5</v>
      </c>
      <c r="C9" s="3">
        <v>2.75</v>
      </c>
      <c r="D9" s="3">
        <v>1</v>
      </c>
      <c r="E9" s="3"/>
      <c r="F9" s="3">
        <v>5.25</v>
      </c>
    </row>
    <row r="10" spans="1:6" x14ac:dyDescent="0.25">
      <c r="A10" s="5">
        <v>43237</v>
      </c>
      <c r="B10" s="3"/>
      <c r="C10" s="3">
        <v>6</v>
      </c>
      <c r="D10" s="3"/>
      <c r="E10" s="3">
        <v>0.75</v>
      </c>
      <c r="F10" s="3">
        <v>6.75</v>
      </c>
    </row>
    <row r="11" spans="1:6" x14ac:dyDescent="0.25">
      <c r="A11" s="5">
        <v>43236</v>
      </c>
      <c r="B11" s="3">
        <v>1.5</v>
      </c>
      <c r="C11" s="3">
        <v>3</v>
      </c>
      <c r="D11" s="3"/>
      <c r="E11" s="3"/>
      <c r="F11" s="3">
        <v>4.5</v>
      </c>
    </row>
    <row r="12" spans="1:6" x14ac:dyDescent="0.25">
      <c r="A12" s="5">
        <v>43235</v>
      </c>
      <c r="B12" s="3">
        <v>2</v>
      </c>
      <c r="C12" s="3">
        <v>4</v>
      </c>
      <c r="D12" s="3"/>
      <c r="E12" s="3"/>
      <c r="F12" s="3">
        <v>6</v>
      </c>
    </row>
    <row r="13" spans="1:6" x14ac:dyDescent="0.25">
      <c r="A13" s="5">
        <v>43229</v>
      </c>
      <c r="B13" s="3">
        <v>4.5</v>
      </c>
      <c r="C13" s="3"/>
      <c r="D13" s="3"/>
      <c r="E13" s="3"/>
      <c r="F13" s="3">
        <v>4.5</v>
      </c>
    </row>
    <row r="14" spans="1:6" x14ac:dyDescent="0.25">
      <c r="A14" s="5">
        <v>43228</v>
      </c>
      <c r="B14" s="3">
        <v>1.75</v>
      </c>
      <c r="C14" s="3"/>
      <c r="D14" s="3">
        <v>4.25</v>
      </c>
      <c r="E14" s="3"/>
      <c r="F14" s="3">
        <v>6</v>
      </c>
    </row>
    <row r="15" spans="1:6" x14ac:dyDescent="0.25">
      <c r="A15" s="5" t="s">
        <v>11</v>
      </c>
      <c r="B15" s="3">
        <v>15</v>
      </c>
      <c r="C15" s="3">
        <v>34.5</v>
      </c>
      <c r="D15" s="3">
        <v>5.25</v>
      </c>
      <c r="E15" s="3">
        <v>0.75</v>
      </c>
      <c r="F15" s="3">
        <v>55.5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2018-05-30T15:37:31Z</dcterms:modified>
</cp:coreProperties>
</file>