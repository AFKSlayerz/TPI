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10" i="1"/>
  <c r="B11" i="1"/>
  <c r="B12" i="1"/>
  <c r="B13" i="1"/>
  <c r="B14" i="1"/>
  <c r="B15" i="1"/>
  <c r="B16" i="1"/>
  <c r="B17" i="1"/>
  <c r="B18" i="1"/>
  <c r="B19" i="1"/>
  <c r="B20" i="1"/>
  <c r="B21" i="1"/>
  <c r="B22" i="1"/>
  <c r="B23" i="1"/>
  <c r="B24" i="1"/>
  <c r="B25" i="1"/>
  <c r="B26" i="1"/>
  <c r="B9" i="1"/>
  <c r="B27" i="1"/>
  <c r="B28" i="1"/>
  <c r="B29" i="1"/>
  <c r="B30" i="1"/>
  <c r="B31" i="1"/>
  <c r="B32" i="1"/>
  <c r="B33" i="1"/>
  <c r="B34" i="1"/>
  <c r="B35" i="1"/>
  <c r="B36" i="1"/>
</calcChain>
</file>

<file path=xl/sharedStrings.xml><?xml version="1.0" encoding="utf-8"?>
<sst xmlns="http://schemas.openxmlformats.org/spreadsheetml/2006/main" count="102" uniqueCount="57">
  <si>
    <t>Description</t>
  </si>
  <si>
    <t>Remarques/problèmes</t>
  </si>
  <si>
    <t>Jour</t>
  </si>
  <si>
    <t>Temps [h]</t>
  </si>
  <si>
    <t>Type</t>
  </si>
  <si>
    <t>Types de tâches</t>
  </si>
  <si>
    <t>Analyse</t>
  </si>
  <si>
    <t>Implémentation</t>
  </si>
  <si>
    <t>Tests</t>
  </si>
  <si>
    <t>Documentation</t>
  </si>
  <si>
    <t>Absence</t>
  </si>
  <si>
    <t>Total général</t>
  </si>
  <si>
    <t>Semaine</t>
  </si>
  <si>
    <t>Somme de Temps [h]</t>
  </si>
  <si>
    <t>Prise de connaissance du cahier des charges et discussion avec l'expert</t>
  </si>
  <si>
    <t>Création de la planification initial</t>
  </si>
  <si>
    <t>Discussion et clarification sur ce qui était attendu pour la réalisation du jeu avec le chef de projet</t>
  </si>
  <si>
    <t>Validation de la planification initial avec le chef de projet</t>
  </si>
  <si>
    <t>Création des maquettes</t>
  </si>
  <si>
    <t>Page de jeu</t>
  </si>
  <si>
    <t>Choix des use cases</t>
  </si>
  <si>
    <t>Maquettes du menu et finissions des maquettes pour le jeu en lui-même</t>
  </si>
  <si>
    <t>Analyse préliminaire</t>
  </si>
  <si>
    <t>Documentation : Introduction</t>
  </si>
  <si>
    <t>Préparation du Github et création du projet Xcode</t>
  </si>
  <si>
    <t>Scénario du use case "Lancement d'une partie"</t>
  </si>
  <si>
    <t xml:space="preserve">Recherche et création des sprites </t>
  </si>
  <si>
    <t>Devloppement du bouton "Retour" dans le menu d'avant-partie</t>
  </si>
  <si>
    <t>Devloppement du menu d'avant-partie ( maquettes menu 1,2,3,4)</t>
  </si>
  <si>
    <t>Devloppement de la naviguation dans le menu d'avant-partie</t>
  </si>
  <si>
    <t>Quelques problèmes au niveau de la naviguation (Devoir cliquer deux fois sur retour pour revenir une fois en arrière)</t>
  </si>
  <si>
    <t>Résolution des bugs du bouton "Retour"</t>
  </si>
  <si>
    <t xml:space="preserve">Création d'un système de flag qui s'incrémente et décremente </t>
  </si>
  <si>
    <t>Amélioration des détails sur les maquettes pour avoir une meilleur compréhension des scénarios</t>
  </si>
  <si>
    <t>Code des sprites pour les implémentées dans le jeu</t>
  </si>
  <si>
    <t>Journal de travail et mise en page de la documentation (use cases/scénarios et maquettes)</t>
  </si>
  <si>
    <t>Rendez-vous avec le chef de projet pour le Sprint 1</t>
  </si>
  <si>
    <t>Recherche et code du déplacement des élèves et du profs</t>
  </si>
  <si>
    <t>Recherche sur comment déplacer un sprite automatiquement sans qu'il s'arrête</t>
  </si>
  <si>
    <t>J'ai trouver une méthode permettant de le faire, quelques problèmes dû aux différents menus</t>
  </si>
  <si>
    <t>Sprint fini, il manque juste le MLD et le MCD</t>
  </si>
  <si>
    <t>Recherche et code de l'affichage des langues et du vocabulaires de manières a que ce soient plus faciles pour l'implémentation du WebService</t>
  </si>
  <si>
    <t>J'ai trouver la méthode permettant de créer des objet indépendant les uns des autres dans une boucle</t>
  </si>
  <si>
    <t>N'arrive pas à trouver la methode permettant de créer des objets indépendant dans boucle</t>
  </si>
  <si>
    <t>Recherche de différent termes concernant les parents et les enfants dans le languages Swift</t>
  </si>
  <si>
    <t>Commentaire du code</t>
  </si>
  <si>
    <t>Mise en ordre des différents supports et fichiers de documentation (Trello, GitHub, Rapport)</t>
  </si>
  <si>
    <t>Code pour pouvoir cliquer sur les labels et qui soient reconnu indépendamment les uns des autres</t>
  </si>
  <si>
    <t>Recherche et code pour pouvoir cliquer sur les labels et qui soient reconnu indépendamment les uns des autres</t>
  </si>
  <si>
    <t>Suite a la demande d'une connaissance, je me suis interesser a la fonction NSDictionnary pour assigné directement un ID a mes langue dans le tableau</t>
  </si>
  <si>
    <t xml:space="preserve">Tentative de création de bouton qui ont un ID assigné directement, malheureusement il en est impossible lors de la création d'un jeu et ce sont des SpriteNodes qui sont utilisés pour simuler des boutons -&gt; même problèmes que pour les labels, ne marche pas </t>
  </si>
  <si>
    <t>Problème résolu, assignation d'un name a chaque créations de label,puis transformation et incrémentation de celui-ci à fin qu'il soit différent pour chaques labels</t>
  </si>
  <si>
    <t>Code de la mise en relations entre les langues choisies par l'élève et le prof avec les vocabulaires correspondant à afficher</t>
  </si>
  <si>
    <t>Aide d'un collègue sur comment faire pour afficher les bons vocabulaires correspondants</t>
  </si>
  <si>
    <t>Mise en application de ce que mon collègue m'a dit et création + affichage des bons vocs par rapport au langues choisies</t>
  </si>
  <si>
    <t>Création d'une variable que l'on incrémente à chaque fois que la boucle "for" fait un tour à fin de réutilisé cet variable comme ID pour le joindre au tableau des vocs disponible par langues -&gt; ne marche pas.</t>
  </si>
  <si>
    <t>Création d'une boucle "for", de deux variables qui stockerons l'id des langues selon le voc et d'un "if" qui test si les langues choisies correspondent a ces deux variable, puis affichage des bon vocs.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</si>
</sst>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4">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0" fillId="0" borderId="1" xfId="0" applyBorder="1" applyProtection="1">
      <protection locked="0"/>
    </xf>
    <xf numFmtId="0" fontId="0" fillId="0" borderId="1" xfId="0" applyBorder="1" applyAlignment="1" applyProtection="1">
      <alignment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36"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37"/>
  <sheetViews>
    <sheetView tabSelected="1" workbookViewId="0">
      <selection activeCell="G2" sqref="G2"/>
    </sheetView>
  </sheetViews>
  <sheetFormatPr baseColWidth="10" defaultColWidth="9.140625" defaultRowHeight="15" x14ac:dyDescent="0.25"/>
  <cols>
    <col min="1" max="1" width="6.85546875" style="8" bestFit="1" customWidth="1"/>
    <col min="2" max="2" width="8.7109375" style="20" customWidth="1"/>
    <col min="3" max="3" width="10.5703125" style="16" bestFit="1" customWidth="1"/>
    <col min="4" max="4" width="14.7109375" style="8" customWidth="1"/>
    <col min="5" max="5" width="45.5703125" style="17" customWidth="1"/>
    <col min="6" max="6" width="33.28515625" style="17" customWidth="1"/>
    <col min="7" max="16384" width="9.140625" style="11"/>
  </cols>
  <sheetData>
    <row r="1" spans="1:9" ht="24" customHeight="1" x14ac:dyDescent="0.25">
      <c r="A1" s="6" t="s">
        <v>2</v>
      </c>
      <c r="B1" s="18" t="s">
        <v>12</v>
      </c>
      <c r="C1" s="9" t="s">
        <v>3</v>
      </c>
      <c r="D1" s="6" t="s">
        <v>4</v>
      </c>
      <c r="E1" s="10" t="s">
        <v>0</v>
      </c>
      <c r="F1" s="10" t="s">
        <v>1</v>
      </c>
    </row>
    <row r="2" spans="1:9" ht="87.75" customHeight="1" x14ac:dyDescent="0.25">
      <c r="A2" s="7">
        <v>43243</v>
      </c>
      <c r="B2" s="19">
        <f t="shared" ref="B2" si="0">WEEKNUM(A2)</f>
        <v>21</v>
      </c>
      <c r="C2" s="12">
        <v>1</v>
      </c>
      <c r="D2" s="13" t="s">
        <v>7</v>
      </c>
      <c r="E2" s="14" t="s">
        <v>54</v>
      </c>
      <c r="F2" s="23" t="s">
        <v>56</v>
      </c>
      <c r="I2" s="15"/>
    </row>
    <row r="3" spans="1:9" ht="29.25" customHeight="1" x14ac:dyDescent="0.25">
      <c r="A3" s="7">
        <v>43243</v>
      </c>
      <c r="B3" s="19">
        <f t="shared" ref="B3" si="1">WEEKNUM(A3)</f>
        <v>21</v>
      </c>
      <c r="C3" s="12">
        <v>0.5</v>
      </c>
      <c r="D3" s="13" t="s">
        <v>7</v>
      </c>
      <c r="E3" s="14" t="s">
        <v>53</v>
      </c>
      <c r="F3" s="23"/>
      <c r="I3" s="15"/>
    </row>
    <row r="4" spans="1:9" ht="45" customHeight="1" x14ac:dyDescent="0.25">
      <c r="A4" s="7">
        <v>43243</v>
      </c>
      <c r="B4" s="19">
        <f t="shared" ref="B4" si="2">WEEKNUM(A4)</f>
        <v>21</v>
      </c>
      <c r="C4" s="12">
        <v>1.5</v>
      </c>
      <c r="D4" s="13" t="s">
        <v>7</v>
      </c>
      <c r="E4" s="14" t="s">
        <v>52</v>
      </c>
      <c r="F4" s="23"/>
      <c r="I4" s="15"/>
    </row>
    <row r="5" spans="1:9" ht="73.5" customHeight="1" x14ac:dyDescent="0.25">
      <c r="A5" s="7">
        <v>43243</v>
      </c>
      <c r="B5" s="19">
        <f t="shared" ref="B5" si="3">WEEKNUM(A5)</f>
        <v>21</v>
      </c>
      <c r="C5" s="12">
        <v>1.5</v>
      </c>
      <c r="D5" s="13" t="s">
        <v>7</v>
      </c>
      <c r="E5" s="14" t="s">
        <v>48</v>
      </c>
      <c r="F5" s="23" t="s">
        <v>51</v>
      </c>
      <c r="I5" s="15"/>
    </row>
    <row r="6" spans="1:9" ht="118.5" customHeight="1" x14ac:dyDescent="0.25">
      <c r="A6" s="7">
        <v>43242</v>
      </c>
      <c r="B6" s="19">
        <f t="shared" ref="B6" si="4">WEEKNUM(A6)</f>
        <v>21</v>
      </c>
      <c r="C6" s="12">
        <v>1.5</v>
      </c>
      <c r="D6" s="13" t="s">
        <v>7</v>
      </c>
      <c r="E6" s="14" t="s">
        <v>48</v>
      </c>
      <c r="F6" s="23" t="s">
        <v>50</v>
      </c>
      <c r="I6" s="15"/>
    </row>
    <row r="7" spans="1:9" ht="120" customHeight="1" x14ac:dyDescent="0.25">
      <c r="A7" s="7">
        <v>43242</v>
      </c>
      <c r="B7" s="19">
        <f t="shared" ref="B7" si="5">WEEKNUM(A7)</f>
        <v>21</v>
      </c>
      <c r="C7" s="12">
        <v>1.5</v>
      </c>
      <c r="D7" s="13" t="s">
        <v>7</v>
      </c>
      <c r="E7" s="14" t="s">
        <v>48</v>
      </c>
      <c r="F7" s="23" t="s">
        <v>50</v>
      </c>
      <c r="I7" s="15"/>
    </row>
    <row r="8" spans="1:9" ht="75.75" customHeight="1" x14ac:dyDescent="0.25">
      <c r="A8" s="7">
        <v>43242</v>
      </c>
      <c r="B8" s="19">
        <f t="shared" ref="B8" si="6">WEEKNUM(A8)</f>
        <v>21</v>
      </c>
      <c r="C8" s="12">
        <v>1.5</v>
      </c>
      <c r="D8" s="13" t="s">
        <v>7</v>
      </c>
      <c r="E8" s="14" t="s">
        <v>48</v>
      </c>
      <c r="F8" s="23" t="s">
        <v>49</v>
      </c>
      <c r="I8" s="15"/>
    </row>
    <row r="9" spans="1:9" ht="103.5" customHeight="1" x14ac:dyDescent="0.25">
      <c r="A9" s="7">
        <v>43242</v>
      </c>
      <c r="B9" s="19">
        <f t="shared" ref="B9" si="7">WEEKNUM(A9)</f>
        <v>21</v>
      </c>
      <c r="C9" s="12">
        <v>1.5</v>
      </c>
      <c r="D9" s="13" t="s">
        <v>7</v>
      </c>
      <c r="E9" s="14" t="s">
        <v>47</v>
      </c>
      <c r="F9" s="23" t="s">
        <v>55</v>
      </c>
      <c r="I9" s="15"/>
    </row>
    <row r="10" spans="1:9" ht="30" x14ac:dyDescent="0.25">
      <c r="A10" s="7">
        <v>43238</v>
      </c>
      <c r="B10" s="19">
        <f t="shared" ref="B10:B19" si="8">WEEKNUM(A10)</f>
        <v>20</v>
      </c>
      <c r="C10" s="12">
        <v>1.5</v>
      </c>
      <c r="D10" s="13" t="s">
        <v>9</v>
      </c>
      <c r="E10" s="14" t="s">
        <v>46</v>
      </c>
      <c r="F10" s="23"/>
      <c r="I10" s="15"/>
    </row>
    <row r="11" spans="1:9" x14ac:dyDescent="0.25">
      <c r="A11" s="7">
        <v>43238</v>
      </c>
      <c r="B11" s="19">
        <f t="shared" si="8"/>
        <v>20</v>
      </c>
      <c r="C11" s="12">
        <v>1.25</v>
      </c>
      <c r="D11" s="13" t="s">
        <v>7</v>
      </c>
      <c r="E11" s="14" t="s">
        <v>45</v>
      </c>
      <c r="F11" s="23"/>
      <c r="I11" s="15"/>
    </row>
    <row r="12" spans="1:9" ht="44.25" customHeight="1" x14ac:dyDescent="0.25">
      <c r="A12" s="7">
        <v>43238</v>
      </c>
      <c r="B12" s="19">
        <f t="shared" si="8"/>
        <v>20</v>
      </c>
      <c r="C12" s="12">
        <v>1.5</v>
      </c>
      <c r="D12" s="13" t="s">
        <v>7</v>
      </c>
      <c r="E12" s="14" t="s">
        <v>41</v>
      </c>
      <c r="F12" s="23" t="s">
        <v>42</v>
      </c>
      <c r="I12" s="15"/>
    </row>
    <row r="13" spans="1:9" ht="30" x14ac:dyDescent="0.25">
      <c r="A13" s="7">
        <v>43238</v>
      </c>
      <c r="B13" s="19">
        <f t="shared" si="8"/>
        <v>20</v>
      </c>
      <c r="C13" s="12">
        <v>1</v>
      </c>
      <c r="D13" s="13" t="s">
        <v>6</v>
      </c>
      <c r="E13" s="14" t="s">
        <v>44</v>
      </c>
      <c r="F13" s="23"/>
      <c r="I13" s="15"/>
    </row>
    <row r="14" spans="1:9" ht="45" x14ac:dyDescent="0.25">
      <c r="A14" s="7">
        <v>43237</v>
      </c>
      <c r="B14" s="19">
        <f t="shared" si="8"/>
        <v>20</v>
      </c>
      <c r="C14" s="12">
        <v>1.5</v>
      </c>
      <c r="D14" s="13" t="s">
        <v>7</v>
      </c>
      <c r="E14" s="14" t="s">
        <v>41</v>
      </c>
      <c r="F14" s="23" t="s">
        <v>43</v>
      </c>
      <c r="I14" s="15"/>
    </row>
    <row r="15" spans="1:9" ht="45" x14ac:dyDescent="0.25">
      <c r="A15" s="7">
        <v>43237</v>
      </c>
      <c r="B15" s="19">
        <f t="shared" si="8"/>
        <v>20</v>
      </c>
      <c r="C15" s="12">
        <v>1.5</v>
      </c>
      <c r="D15" s="13" t="s">
        <v>7</v>
      </c>
      <c r="E15" s="14" t="s">
        <v>41</v>
      </c>
      <c r="F15" s="23"/>
      <c r="I15" s="15"/>
    </row>
    <row r="16" spans="1:9" ht="30" x14ac:dyDescent="0.25">
      <c r="A16" s="7">
        <v>43237</v>
      </c>
      <c r="B16" s="19">
        <f t="shared" si="8"/>
        <v>20</v>
      </c>
      <c r="C16" s="12">
        <v>0.75</v>
      </c>
      <c r="D16" s="13" t="s">
        <v>8</v>
      </c>
      <c r="E16" s="14" t="s">
        <v>36</v>
      </c>
      <c r="F16" s="23" t="s">
        <v>40</v>
      </c>
      <c r="I16" s="15"/>
    </row>
    <row r="17" spans="1:9" ht="45" x14ac:dyDescent="0.25">
      <c r="A17" s="7">
        <v>43237</v>
      </c>
      <c r="B17" s="19">
        <f t="shared" si="8"/>
        <v>20</v>
      </c>
      <c r="C17" s="12">
        <v>1.5</v>
      </c>
      <c r="D17" s="13" t="s">
        <v>7</v>
      </c>
      <c r="E17" s="14" t="s">
        <v>37</v>
      </c>
      <c r="F17" s="23" t="s">
        <v>39</v>
      </c>
      <c r="I17" s="15"/>
    </row>
    <row r="18" spans="1:9" ht="27" customHeight="1" x14ac:dyDescent="0.25">
      <c r="A18" s="7">
        <v>43237</v>
      </c>
      <c r="B18" s="19">
        <f t="shared" si="8"/>
        <v>20</v>
      </c>
      <c r="C18" s="12">
        <v>1.5</v>
      </c>
      <c r="D18" s="13" t="s">
        <v>7</v>
      </c>
      <c r="E18" s="14" t="s">
        <v>37</v>
      </c>
      <c r="F18" s="23" t="s">
        <v>38</v>
      </c>
      <c r="I18" s="15"/>
    </row>
    <row r="19" spans="1:9" ht="45" x14ac:dyDescent="0.25">
      <c r="A19" s="7">
        <v>43236</v>
      </c>
      <c r="B19" s="19">
        <f t="shared" si="8"/>
        <v>20</v>
      </c>
      <c r="C19" s="12">
        <v>0.5</v>
      </c>
      <c r="D19" s="13" t="s">
        <v>9</v>
      </c>
      <c r="E19" s="14" t="s">
        <v>35</v>
      </c>
      <c r="F19" s="23"/>
      <c r="I19" s="15"/>
    </row>
    <row r="20" spans="1:9" ht="30" x14ac:dyDescent="0.25">
      <c r="A20" s="7">
        <v>43236</v>
      </c>
      <c r="B20" s="19">
        <f t="shared" ref="B20" si="9">WEEKNUM(A20)</f>
        <v>20</v>
      </c>
      <c r="C20" s="12">
        <v>1.5</v>
      </c>
      <c r="D20" s="13" t="s">
        <v>7</v>
      </c>
      <c r="E20" s="14" t="s">
        <v>34</v>
      </c>
      <c r="F20" s="23"/>
      <c r="I20" s="15"/>
    </row>
    <row r="21" spans="1:9" ht="30" x14ac:dyDescent="0.25">
      <c r="A21" s="7">
        <v>43236</v>
      </c>
      <c r="B21" s="19">
        <f t="shared" ref="B21" si="10">WEEKNUM(A21)</f>
        <v>20</v>
      </c>
      <c r="C21" s="12">
        <v>1</v>
      </c>
      <c r="D21" s="13" t="s">
        <v>9</v>
      </c>
      <c r="E21" s="14" t="s">
        <v>33</v>
      </c>
      <c r="F21" s="23"/>
      <c r="I21" s="15"/>
    </row>
    <row r="22" spans="1:9" ht="30" x14ac:dyDescent="0.25">
      <c r="A22" s="7">
        <v>43236</v>
      </c>
      <c r="B22" s="19">
        <f t="shared" ref="B22" si="11">WEEKNUM(A22)</f>
        <v>20</v>
      </c>
      <c r="C22" s="12">
        <v>1.5</v>
      </c>
      <c r="D22" s="13" t="s">
        <v>7</v>
      </c>
      <c r="E22" s="14" t="s">
        <v>31</v>
      </c>
      <c r="F22" s="23" t="s">
        <v>32</v>
      </c>
      <c r="I22" s="15"/>
    </row>
    <row r="23" spans="1:9" ht="60" x14ac:dyDescent="0.25">
      <c r="A23" s="7">
        <v>43235</v>
      </c>
      <c r="B23" s="19">
        <f t="shared" ref="B23" si="12">WEEKNUM(A23)</f>
        <v>20</v>
      </c>
      <c r="C23" s="12">
        <v>1</v>
      </c>
      <c r="D23" s="13" t="s">
        <v>7</v>
      </c>
      <c r="E23" s="14" t="s">
        <v>27</v>
      </c>
      <c r="F23" s="23" t="s">
        <v>30</v>
      </c>
      <c r="I23" s="15"/>
    </row>
    <row r="24" spans="1:9" ht="30" x14ac:dyDescent="0.25">
      <c r="A24" s="7">
        <v>43235</v>
      </c>
      <c r="B24" s="19">
        <f t="shared" ref="B24" si="13">WEEKNUM(A24)</f>
        <v>20</v>
      </c>
      <c r="C24" s="12">
        <v>1.5</v>
      </c>
      <c r="D24" s="13" t="s">
        <v>7</v>
      </c>
      <c r="E24" s="14" t="s">
        <v>29</v>
      </c>
      <c r="F24" s="22"/>
      <c r="I24" s="15"/>
    </row>
    <row r="25" spans="1:9" ht="30" x14ac:dyDescent="0.25">
      <c r="A25" s="7">
        <v>43235</v>
      </c>
      <c r="B25" s="19">
        <f t="shared" ref="B25" si="14">WEEKNUM(A25)</f>
        <v>20</v>
      </c>
      <c r="C25" s="12">
        <v>1.5</v>
      </c>
      <c r="D25" s="13" t="s">
        <v>7</v>
      </c>
      <c r="E25" s="14" t="s">
        <v>28</v>
      </c>
      <c r="F25" s="22"/>
      <c r="I25" s="15"/>
    </row>
    <row r="26" spans="1:9" x14ac:dyDescent="0.25">
      <c r="A26" s="7">
        <v>43235</v>
      </c>
      <c r="B26" s="19">
        <f t="shared" ref="B26" si="15">WEEKNUM(A26)</f>
        <v>20</v>
      </c>
      <c r="C26" s="12">
        <v>0.5</v>
      </c>
      <c r="D26" s="13" t="s">
        <v>9</v>
      </c>
      <c r="E26" s="14" t="s">
        <v>26</v>
      </c>
      <c r="F26" s="22"/>
      <c r="I26" s="15"/>
    </row>
    <row r="27" spans="1:9" x14ac:dyDescent="0.25">
      <c r="A27" s="7">
        <v>43235</v>
      </c>
      <c r="B27" s="19">
        <f t="shared" ref="B27" si="16">WEEKNUM(A27)</f>
        <v>20</v>
      </c>
      <c r="C27" s="12">
        <v>1.5</v>
      </c>
      <c r="D27" s="13" t="s">
        <v>9</v>
      </c>
      <c r="E27" s="14" t="s">
        <v>25</v>
      </c>
      <c r="F27" s="22"/>
      <c r="I27" s="15"/>
    </row>
    <row r="28" spans="1:9" ht="30" x14ac:dyDescent="0.25">
      <c r="A28" s="7">
        <v>43229</v>
      </c>
      <c r="B28" s="19">
        <f t="shared" ref="B28:B36" si="17">WEEKNUM(A28)</f>
        <v>19</v>
      </c>
      <c r="C28" s="12">
        <v>0.75</v>
      </c>
      <c r="D28" s="13" t="s">
        <v>9</v>
      </c>
      <c r="E28" s="14" t="s">
        <v>24</v>
      </c>
      <c r="F28" s="22"/>
      <c r="I28" s="15"/>
    </row>
    <row r="29" spans="1:9" x14ac:dyDescent="0.25">
      <c r="A29" s="7">
        <v>43229</v>
      </c>
      <c r="B29" s="19">
        <f t="shared" si="17"/>
        <v>19</v>
      </c>
      <c r="C29" s="12">
        <v>1</v>
      </c>
      <c r="D29" s="13" t="s">
        <v>9</v>
      </c>
      <c r="E29" s="14" t="s">
        <v>23</v>
      </c>
      <c r="F29" s="14" t="s">
        <v>22</v>
      </c>
      <c r="I29" s="15"/>
    </row>
    <row r="30" spans="1:9" ht="45" x14ac:dyDescent="0.25">
      <c r="A30" s="7">
        <v>43229</v>
      </c>
      <c r="B30" s="19">
        <f t="shared" si="17"/>
        <v>19</v>
      </c>
      <c r="C30" s="12">
        <v>1</v>
      </c>
      <c r="D30" s="13" t="s">
        <v>9</v>
      </c>
      <c r="E30" s="14" t="s">
        <v>18</v>
      </c>
      <c r="F30" s="14" t="s">
        <v>21</v>
      </c>
      <c r="I30" s="15"/>
    </row>
    <row r="31" spans="1:9" x14ac:dyDescent="0.25">
      <c r="A31" s="7">
        <v>43229</v>
      </c>
      <c r="B31" s="19">
        <f t="shared" si="17"/>
        <v>19</v>
      </c>
      <c r="C31" s="12">
        <v>1</v>
      </c>
      <c r="D31" s="13" t="s">
        <v>9</v>
      </c>
      <c r="E31" s="14" t="s">
        <v>20</v>
      </c>
      <c r="F31" s="14"/>
      <c r="I31" s="15"/>
    </row>
    <row r="32" spans="1:9" x14ac:dyDescent="0.25">
      <c r="A32" s="7">
        <v>43228</v>
      </c>
      <c r="B32" s="19">
        <f t="shared" si="17"/>
        <v>19</v>
      </c>
      <c r="C32" s="12">
        <v>1.75</v>
      </c>
      <c r="D32" s="13" t="s">
        <v>9</v>
      </c>
      <c r="E32" s="14" t="s">
        <v>18</v>
      </c>
      <c r="F32" s="14" t="s">
        <v>19</v>
      </c>
      <c r="I32" s="15"/>
    </row>
    <row r="33" spans="1:9" ht="30" x14ac:dyDescent="0.25">
      <c r="A33" s="7">
        <v>43228</v>
      </c>
      <c r="B33" s="19">
        <f t="shared" si="17"/>
        <v>19</v>
      </c>
      <c r="C33" s="12">
        <v>0.75</v>
      </c>
      <c r="D33" s="13" t="s">
        <v>6</v>
      </c>
      <c r="E33" s="14" t="s">
        <v>17</v>
      </c>
      <c r="F33" s="14"/>
      <c r="I33" s="15"/>
    </row>
    <row r="34" spans="1:9" ht="30" x14ac:dyDescent="0.25">
      <c r="A34" s="7">
        <v>43228</v>
      </c>
      <c r="B34" s="19">
        <f t="shared" si="17"/>
        <v>19</v>
      </c>
      <c r="C34" s="12">
        <v>0.75</v>
      </c>
      <c r="D34" s="13" t="s">
        <v>6</v>
      </c>
      <c r="E34" s="14" t="s">
        <v>16</v>
      </c>
      <c r="F34" s="14"/>
      <c r="I34" s="15"/>
    </row>
    <row r="35" spans="1:9" x14ac:dyDescent="0.25">
      <c r="A35" s="7">
        <v>43228</v>
      </c>
      <c r="B35" s="19">
        <f t="shared" si="17"/>
        <v>19</v>
      </c>
      <c r="C35" s="12">
        <v>1.75</v>
      </c>
      <c r="D35" s="13" t="s">
        <v>6</v>
      </c>
      <c r="E35" s="14" t="s">
        <v>15</v>
      </c>
      <c r="F35" s="14"/>
      <c r="I35" s="15"/>
    </row>
    <row r="36" spans="1:9" ht="30" x14ac:dyDescent="0.25">
      <c r="A36" s="7">
        <v>43228</v>
      </c>
      <c r="B36" s="19">
        <f t="shared" si="17"/>
        <v>19</v>
      </c>
      <c r="C36" s="12">
        <v>1</v>
      </c>
      <c r="D36" s="13" t="s">
        <v>6</v>
      </c>
      <c r="E36" s="14" t="s">
        <v>14</v>
      </c>
      <c r="F36" s="14"/>
      <c r="I36" s="15"/>
    </row>
    <row r="37" spans="1:9" x14ac:dyDescent="0.25">
      <c r="A37" s="21"/>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2018-05-23T11:53:44Z</dcterms:modified>
</cp:coreProperties>
</file>